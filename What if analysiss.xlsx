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nu\Downloads\"/>
    </mc:Choice>
  </mc:AlternateContent>
  <xr:revisionPtr revIDLastSave="0" documentId="8_{9B1BD1DE-7E04-4C94-8A79-66DD101CA9E5}" xr6:coauthVersionLast="47" xr6:coauthVersionMax="47" xr10:uidLastSave="{00000000-0000-0000-0000-000000000000}"/>
  <bookViews>
    <workbookView xWindow="-108" yWindow="-108" windowWidth="23256" windowHeight="12456" xr2:uid="{2DF75B60-331A-4006-9626-DC58982E1F23}"/>
  </bookViews>
  <sheets>
    <sheet name="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7" i="1" l="1"/>
  <c r="C46" i="1"/>
  <c r="C45" i="1"/>
  <c r="C22" i="1"/>
  <c r="C23" i="1" s="1"/>
  <c r="C20" i="1"/>
  <c r="C21" i="1"/>
  <c r="C19" i="1"/>
</calcChain>
</file>

<file path=xl/sharedStrings.xml><?xml version="1.0" encoding="utf-8"?>
<sst xmlns="http://schemas.openxmlformats.org/spreadsheetml/2006/main" count="50" uniqueCount="47">
  <si>
    <t>1. </t>
  </si>
  <si>
    <t>Suppose you have a small business selling handcrafted items. You want to find out how many units you need to sell to reach a profit goal of $10,000.</t>
  </si>
  <si>
    <t>Given:</t>
  </si>
  <si>
    <r>
      <t>·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Selling price per unit: $50</t>
    </r>
  </si>
  <si>
    <r>
      <t>·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Cost per unit: $30</t>
    </r>
  </si>
  <si>
    <r>
      <t>·</t>
    </r>
    <r>
      <rPr>
        <sz val="7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Fixed costs: $4,000</t>
    </r>
  </si>
  <si>
    <t>Description</t>
  </si>
  <si>
    <t>Value</t>
  </si>
  <si>
    <t>Selling Price per Unit</t>
  </si>
  <si>
    <t>Cost per Unit</t>
  </si>
  <si>
    <t>Fixed Costs</t>
  </si>
  <si>
    <t>Target Profit</t>
  </si>
  <si>
    <t>Number of Units to Sell</t>
  </si>
  <si>
    <t>Total Revenue</t>
  </si>
  <si>
    <t>Total Variable Costs</t>
  </si>
  <si>
    <t>Total Costs</t>
  </si>
  <si>
    <t>Profit</t>
  </si>
  <si>
    <t>You have taken a loan of $20,000 to buy equipment for your business. The loan has an annual interest rate of 6%, and you want to determine the monthly payment needed to pay off the loan in 5 years.</t>
  </si>
  <si>
    <t>Loan amount: $20,000</t>
  </si>
  <si>
    <t>Annual interest rate: 6%</t>
  </si>
  <si>
    <t>Loan term: 5 years</t>
  </si>
  <si>
    <t>Cell</t>
  </si>
  <si>
    <t>Value / Formula</t>
  </si>
  <si>
    <t>A1</t>
  </si>
  <si>
    <t>Loan Amount</t>
  </si>
  <si>
    <t>A2</t>
  </si>
  <si>
    <t>Annual Interest Rate</t>
  </si>
  <si>
    <t>A3</t>
  </si>
  <si>
    <t>Loan Term (Years)</t>
  </si>
  <si>
    <t>A4</t>
  </si>
  <si>
    <t>Monthly Interest Rate</t>
  </si>
  <si>
    <t>A5</t>
  </si>
  <si>
    <t>Total Number of Payments</t>
  </si>
  <si>
    <t>A6</t>
  </si>
  <si>
    <t>Monthly Payment</t>
  </si>
  <si>
    <t>2. </t>
  </si>
  <si>
    <t>1. You want to analyse how different interest rates affect the monthly payment of a loan. The loan amount is $15,000, and you want to see how the monthly payment changes for interest rates ranging from 4% to 8% in 0.5% increments over a 5-year term.</t>
  </si>
  <si>
    <t>Approximate Monthly Payment</t>
  </si>
  <si>
    <t>$276.25</t>
  </si>
  <si>
    <t>$279.32</t>
  </si>
  <si>
    <t>$283.07</t>
  </si>
  <si>
    <t>$286.73</t>
  </si>
  <si>
    <t>$289.99</t>
  </si>
  <si>
    <t>$293.48</t>
  </si>
  <si>
    <t>$297.02</t>
  </si>
  <si>
    <t>$300.56</t>
  </si>
  <si>
    <t>$304.15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</si>
</sst>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Symbol"/>
      <family val="1"/>
      <charset val="2"/>
    </font>
    <font>
      <sz val="7"/>
      <color theme="1"/>
      <name val="Times New Roman"/>
      <family val="1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 indent="6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6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3"/>
    </xf>
    <xf numFmtId="9" fontId="0" fillId="0" borderId="0" xfId="0" applyNumberForma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8" fontId="6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 indent="6"/>
    </xf>
    <xf numFmtId="1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D10AB9-5FFC-4BF4-8E6C-48606CD57A21}" name="Table1" displayName="Table1" ref="B14:C23" totalsRowShown="0">
  <autoFilter ref="B14:C23" xr:uid="{D2D10AB9-5FFC-4BF4-8E6C-48606CD57A21}"/>
  <tableColumns count="2">
    <tableColumn id="1" xr3:uid="{E292DE54-22E2-42D0-9CBC-CD75D3AEF047}" name="Description" dataDxfId="1"/>
    <tableColumn id="2" xr3:uid="{64B5B283-05F5-4055-A5BA-B7883B66B10B}" name="Valu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B9C7-286F-4DD7-A9EC-2C4AE2BC4774}">
  <dimension ref="A1:C62"/>
  <sheetViews>
    <sheetView tabSelected="1" workbookViewId="0">
      <selection activeCell="F65" sqref="E65:F65"/>
    </sheetView>
  </sheetViews>
  <sheetFormatPr defaultRowHeight="14.4"/>
  <cols>
    <col min="2" max="2" width="21.33203125" customWidth="1"/>
    <col min="3" max="3" width="18.21875" customWidth="1"/>
    <col min="6" max="6" width="35.6640625" customWidth="1"/>
  </cols>
  <sheetData>
    <row r="1" spans="1:3">
      <c r="A1" s="1" t="s">
        <v>0</v>
      </c>
    </row>
    <row r="3" spans="1:3">
      <c r="A3" s="2" t="s">
        <v>1</v>
      </c>
    </row>
    <row r="5" spans="1:3">
      <c r="A5" s="3" t="s">
        <v>2</v>
      </c>
    </row>
    <row r="7" spans="1:3">
      <c r="A7" s="4" t="s">
        <v>3</v>
      </c>
    </row>
    <row r="9" spans="1:3">
      <c r="A9" s="4" t="s">
        <v>4</v>
      </c>
    </row>
    <row r="11" spans="1:3">
      <c r="A11" s="4" t="s">
        <v>5</v>
      </c>
    </row>
    <row r="14" spans="1:3">
      <c r="B14" s="5" t="s">
        <v>6</v>
      </c>
      <c r="C14" s="7" t="s">
        <v>7</v>
      </c>
    </row>
    <row r="15" spans="1:3" ht="28.8">
      <c r="B15" s="8" t="s">
        <v>8</v>
      </c>
      <c r="C15" s="6">
        <v>50</v>
      </c>
    </row>
    <row r="16" spans="1:3">
      <c r="B16" s="8" t="s">
        <v>9</v>
      </c>
      <c r="C16" s="6">
        <v>30</v>
      </c>
    </row>
    <row r="17" spans="1:3">
      <c r="B17" s="8" t="s">
        <v>10</v>
      </c>
      <c r="C17" s="6">
        <v>-1342173280</v>
      </c>
    </row>
    <row r="18" spans="1:3">
      <c r="B18" s="8" t="s">
        <v>11</v>
      </c>
      <c r="C18" s="6">
        <v>10000</v>
      </c>
    </row>
    <row r="19" spans="1:3">
      <c r="B19" s="9" t="s">
        <v>12</v>
      </c>
      <c r="C19" s="7">
        <f>(4000+10000)/(50-30)</f>
        <v>700</v>
      </c>
    </row>
    <row r="20" spans="1:3">
      <c r="B20" s="9" t="s">
        <v>13</v>
      </c>
      <c r="C20" s="7">
        <f>C19*C15</f>
        <v>35000</v>
      </c>
    </row>
    <row r="21" spans="1:3">
      <c r="B21" s="9" t="s">
        <v>14</v>
      </c>
      <c r="C21" s="7">
        <f>C19*C16</f>
        <v>21000</v>
      </c>
    </row>
    <row r="22" spans="1:3">
      <c r="B22" s="9" t="s">
        <v>15</v>
      </c>
      <c r="C22" s="7">
        <f>C21+C17</f>
        <v>-1342152280</v>
      </c>
    </row>
    <row r="23" spans="1:3">
      <c r="B23" s="9" t="s">
        <v>16</v>
      </c>
      <c r="C23" s="7">
        <f>C20-C22</f>
        <v>1342187280</v>
      </c>
    </row>
    <row r="29" spans="1:3">
      <c r="A29" s="1" t="s">
        <v>35</v>
      </c>
    </row>
    <row r="31" spans="1:3">
      <c r="A31" s="10" t="s">
        <v>17</v>
      </c>
    </row>
    <row r="33" spans="1:3">
      <c r="A33" s="11" t="s">
        <v>2</v>
      </c>
    </row>
    <row r="35" spans="1:3">
      <c r="A35" s="10" t="s">
        <v>18</v>
      </c>
    </row>
    <row r="37" spans="1:3">
      <c r="A37" s="10" t="s">
        <v>19</v>
      </c>
    </row>
    <row r="39" spans="1:3">
      <c r="A39" s="10" t="s">
        <v>20</v>
      </c>
    </row>
    <row r="41" spans="1:3">
      <c r="A41" s="5" t="s">
        <v>21</v>
      </c>
      <c r="B41" s="5" t="s">
        <v>6</v>
      </c>
      <c r="C41" s="7" t="s">
        <v>22</v>
      </c>
    </row>
    <row r="42" spans="1:3">
      <c r="A42" s="8" t="s">
        <v>23</v>
      </c>
      <c r="B42" s="8" t="s">
        <v>24</v>
      </c>
      <c r="C42" s="6">
        <v>20000</v>
      </c>
    </row>
    <row r="43" spans="1:3">
      <c r="A43" s="8" t="s">
        <v>25</v>
      </c>
      <c r="B43" s="8" t="s">
        <v>26</v>
      </c>
      <c r="C43" s="12">
        <v>0.06</v>
      </c>
    </row>
    <row r="44" spans="1:3">
      <c r="A44" s="8" t="s">
        <v>27</v>
      </c>
      <c r="B44" s="8" t="s">
        <v>28</v>
      </c>
      <c r="C44" s="6">
        <v>5</v>
      </c>
    </row>
    <row r="45" spans="1:3">
      <c r="A45" s="8" t="s">
        <v>29</v>
      </c>
      <c r="B45" s="8" t="s">
        <v>30</v>
      </c>
      <c r="C45" s="13">
        <f>C43/12</f>
        <v>5.0000000000000001E-3</v>
      </c>
    </row>
    <row r="46" spans="1:3" ht="28.8">
      <c r="A46" s="8" t="s">
        <v>31</v>
      </c>
      <c r="B46" s="8" t="s">
        <v>32</v>
      </c>
      <c r="C46" s="13">
        <f>5*12</f>
        <v>60</v>
      </c>
    </row>
    <row r="47" spans="1:3">
      <c r="A47" s="8" t="s">
        <v>33</v>
      </c>
      <c r="B47" s="8" t="s">
        <v>34</v>
      </c>
      <c r="C47" s="14">
        <f>PMT(C45,C46,-C42)</f>
        <v>386.65603058855828</v>
      </c>
    </row>
    <row r="51" spans="1:3">
      <c r="A51" s="15" t="s">
        <v>36</v>
      </c>
    </row>
    <row r="53" spans="1:3" ht="28.8">
      <c r="B53" s="7" t="s">
        <v>26</v>
      </c>
      <c r="C53" s="7" t="s">
        <v>37</v>
      </c>
    </row>
    <row r="54" spans="1:3">
      <c r="B54" s="16">
        <v>0.04</v>
      </c>
      <c r="C54" s="6" t="s">
        <v>38</v>
      </c>
    </row>
    <row r="55" spans="1:3">
      <c r="B55" s="16">
        <v>4.4999999999999998E-2</v>
      </c>
      <c r="C55" s="6" t="s">
        <v>39</v>
      </c>
    </row>
    <row r="56" spans="1:3">
      <c r="B56" s="16">
        <v>0.05</v>
      </c>
      <c r="C56" s="6" t="s">
        <v>40</v>
      </c>
    </row>
    <row r="57" spans="1:3">
      <c r="B57" s="16">
        <v>5.5E-2</v>
      </c>
      <c r="C57" s="6" t="s">
        <v>41</v>
      </c>
    </row>
    <row r="58" spans="1:3">
      <c r="B58" s="16">
        <v>0.06</v>
      </c>
      <c r="C58" s="6" t="s">
        <v>42</v>
      </c>
    </row>
    <row r="59" spans="1:3">
      <c r="B59" s="16">
        <v>6.5000000000000002E-2</v>
      </c>
      <c r="C59" s="6" t="s">
        <v>43</v>
      </c>
    </row>
    <row r="60" spans="1:3">
      <c r="B60" s="16">
        <v>7.0000000000000007E-2</v>
      </c>
      <c r="C60" s="6" t="s">
        <v>44</v>
      </c>
    </row>
    <row r="61" spans="1:3">
      <c r="B61" s="16">
        <v>7.4999999999999997E-2</v>
      </c>
      <c r="C61" s="6" t="s">
        <v>45</v>
      </c>
    </row>
    <row r="62" spans="1:3">
      <c r="B62" s="16">
        <v>0.08</v>
      </c>
      <c r="C62" s="6" t="s">
        <v>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Rinsha</dc:creator>
  <cp:lastModifiedBy>Fathima Rinsha</cp:lastModifiedBy>
  <dcterms:created xsi:type="dcterms:W3CDTF">2026-10-09T06:49:15Z</dcterms:created>
  <dcterms:modified xsi:type="dcterms:W3CDTF">2026-10-09T07:20:23Z</dcterms:modified>
</cp:coreProperties>
</file>